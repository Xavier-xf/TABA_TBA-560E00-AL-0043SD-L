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tabRatio="1000"/>
  </bookViews>
  <sheets>
    <sheet name="calluse （P107）7寸压力测试表" sheetId="103" r:id="rId1"/>
  </sheets>
  <externalReferences>
    <externalReference r:id="rId2"/>
    <externalReference r:id="rId3"/>
    <externalReference r:id="rId4"/>
    <externalReference r:id="rId5"/>
  </externalReferences>
  <definedNames>
    <definedName name="__123Graph_AS49KJ" hidden="1">[1]効果!#REF!</definedName>
    <definedName name="__123Graph_AS49KM" hidden="1">[1]効果!#REF!</definedName>
    <definedName name="__123Graph_BS49KJ" hidden="1">[1]効果!#REF!</definedName>
    <definedName name="__123Graph_CS49KJ" hidden="1">[1]効果!#REF!</definedName>
    <definedName name="__123Graph_DS49KJ" hidden="1">[1]効果!#REF!</definedName>
    <definedName name="__123Graph_XS49KJ" hidden="1">[1]効果!#REF!</definedName>
    <definedName name="__345gRAPH" hidden="1">[1]効果!#REF!</definedName>
    <definedName name="_ASDKA3" hidden="1">'[2]96단체협약'!#REF!</definedName>
    <definedName name="_Dist_Bin" hidden="1">'[2]96단체협약'!#REF!</definedName>
    <definedName name="_Dist_Values" hidden="1">'[2]96단체협약'!#REF!</definedName>
    <definedName name="_Fill" hidden="1">[3]INSU4!#REF!</definedName>
    <definedName name="_Key1" hidden="1">#REF!</definedName>
    <definedName name="_Key2" hidden="1">'[2]96단체협약'!#REF!</definedName>
    <definedName name="_KEYK" hidden="1">#REF!</definedName>
    <definedName name="_Order1" hidden="1">255</definedName>
    <definedName name="_Order2" hidden="1">0</definedName>
    <definedName name="_Sort" hidden="1">#REF!</definedName>
    <definedName name="AAAAA2" hidden="1">#REF!</definedName>
    <definedName name="GHTYU" hidden="1">'[2]96단체협약'!#REF!</definedName>
    <definedName name="key" hidden="1">#REF!</definedName>
    <definedName name="kom" hidden="1">'[4]54ﾏｽﾀｰ予算4_2時点'!#REF!</definedName>
    <definedName name="KOMKET" hidden="1">'[4]54ﾏｽﾀｰ予算4_2時点'!#REF!</definedName>
    <definedName name="WERT" hidden="1">[3]INSU4!#REF!</definedName>
    <definedName name="검증" hidden="1">[1]効果!#REF!</definedName>
    <definedName name="경비" hidden="1">[1]効果!#REF!</definedName>
    <definedName name="ㄴ" hidden="1">'[2]96단체협약'!#REF!</definedName>
    <definedName name="ㅁㄴㅇ234" hidden="1">#REF!</definedName>
    <definedName name="ㅂㅂㅂㅂㅂㅂㅂ" hidden="1">[1]効果!#REF!</definedName>
    <definedName name="스마트폰앱" hidden="1">[1]効果!#REF!</definedName>
    <definedName name="임시" hidden="1">'[2]96단체협약'!#REF!</definedName>
    <definedName name="ㅋㅋㅋㅋㅋㅋㅋㅋㅋㅋㅋㅋㅋㅋㅋㅋㅋㅋㅋㅋㅋ" hidden="1">#REF!</definedName>
    <definedName name="_Key1" localSheetId="0" hidden="1">#REF!</definedName>
    <definedName name="_KEYK" localSheetId="0" hidden="1">#REF!</definedName>
    <definedName name="_Sort" localSheetId="0" hidden="1">#REF!</definedName>
    <definedName name="AAAAA2" localSheetId="0" hidden="1">#REF!</definedName>
    <definedName name="key" localSheetId="0" hidden="1">#REF!</definedName>
    <definedName name="ㅁㄴㅇ234" localSheetId="0" hidden="1">#REF!</definedName>
    <definedName name="ㅋㅋㅋㅋㅋㅋㅋㅋㅋㅋㅋㅋㅋㅋㅋㅋㅋㅋㅋㅋㅋ" localSheetId="0" hidden="1">#REF!</definedName>
    <definedName name="_xlnm.Print_Area" localSheetId="0">'calluse （P107）7寸压力测试表'!$A$1:$I$33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4" name="ID_4410FF8A35AC443C86BEB2106A3D2629"/>
        <xdr:cNvPicPr>
          <a:picLocks noChangeAspect="1"/>
        </xdr:cNvPicPr>
      </xdr:nvPicPr>
      <xdr:blipFill>
        <a:blip r:embed="rId1"/>
        <a:stretch>
          <a:fillRect/>
        </a:stretch>
      </xdr:blipFill>
      <xdr:spPr>
        <a:xfrm>
          <a:off x="627380" y="12777470"/>
          <a:ext cx="3381375" cy="1447800"/>
        </a:xfrm>
        <a:prstGeom prst="rect">
          <a:avLst/>
        </a:prstGeom>
        <a:noFill/>
        <a:ln w="9525">
          <a:noFill/>
        </a:ln>
      </xdr:spPr>
    </xdr:pic>
  </etc:cellImage>
</etc:cellImages>
</file>

<file path=xl/sharedStrings.xml><?xml version="1.0" encoding="utf-8"?>
<sst xmlns="http://schemas.openxmlformats.org/spreadsheetml/2006/main" count="63" uniqueCount="62">
  <si>
    <t>Taba5线模拟大楼系统压力测试项目记录表</t>
  </si>
  <si>
    <t xml:space="preserve"> 产品类型：□4线数字 □2线数字 □4线模拟  ☑5线模拟</t>
  </si>
  <si>
    <t>产品状态：☑开发中    □送样中    □试产中    □量产中                测试员：罗春梅                测试日期：2026.01.05-2026.01.15</t>
  </si>
  <si>
    <t xml:space="preserve"> 产品型号：TBA-560E00-AL-0043SD-L          客户:Taba          软件：项凡            硬件：丁林        软件版本：</t>
  </si>
  <si>
    <t>序号</t>
  </si>
  <si>
    <t>项目名称</t>
  </si>
  <si>
    <t>判定标准</t>
  </si>
  <si>
    <t>测试次数</t>
  </si>
  <si>
    <t>合格次数</t>
  </si>
  <si>
    <t>NG次数</t>
  </si>
  <si>
    <t>测试结果</t>
  </si>
  <si>
    <t>异常点</t>
  </si>
  <si>
    <t>解决方案</t>
  </si>
  <si>
    <t>开机功耗</t>
  </si>
  <si>
    <t>按样品测试报告15v供电，电流范围450-500mA</t>
  </si>
  <si>
    <t>开机时间</t>
  </si>
  <si>
    <t>≤18秒</t>
  </si>
  <si>
    <t>断电启动</t>
  </si>
  <si>
    <t>重启显示logo，显示无异常，进入系统后能正常使用</t>
  </si>
  <si>
    <t>恢复初始设置</t>
  </si>
  <si>
    <t>恢复密码，语言，门禁卡，恢复后重启</t>
  </si>
  <si>
    <t>CALL 机</t>
  </si>
  <si>
    <t>根据楼层分支器房号进行call机，观察是否能够call通。通道、画面以及铃声等正常且未出现无法Call机或者call机错误问题。</t>
  </si>
  <si>
    <t>输入设置密码</t>
  </si>
  <si>
    <t>测试密码正确能够进入设置界面，输入密码时无重叠，ui错乱等问题。</t>
  </si>
  <si>
    <t>输入开锁密码</t>
  </si>
  <si>
    <t>测试密码正确能够开锁，输入密码时无重叠，ui错乱等问题。</t>
  </si>
  <si>
    <t>设置界面</t>
  </si>
  <si>
    <t>索引和设置选项要对齐，无索引错乱问题。</t>
  </si>
  <si>
    <t>系统设置</t>
  </si>
  <si>
    <t>语言设置</t>
  </si>
  <si>
    <t>观察修改后语言显示正常，全部界面无语言异常情况。</t>
  </si>
  <si>
    <t>日期设置</t>
  </si>
  <si>
    <t>设置日期后与待机界面时钟同步，掉电保存。</t>
  </si>
  <si>
    <t>消息弹窗</t>
  </si>
  <si>
    <t>按下恢复出厂设置后的消息弹窗没有显示异常，确认和取消的功能正常。多次切换确认和取消索引要正确。</t>
  </si>
  <si>
    <t>修改密码</t>
  </si>
  <si>
    <t>测试修改的密码要和选中的索引密码一致，修改后的密码能够使用和保存。修改密码界面ui显示正常。</t>
  </si>
  <si>
    <t>修改管理员号</t>
  </si>
  <si>
    <t>在修改单元号输入249进入修改管理员号界面，测试修改的管理员号能够保存，在主界面按下管理员按钮能够呼叫修改后的管理员号。</t>
  </si>
  <si>
    <t>修改单元号</t>
  </si>
  <si>
    <t>输入的索引要在0-127，输入的是分支器的序号，输入后能够正常读取分支器4个房间的房号，能够修改分支器的房号，修改房号后需要再次测试call机功能，确保call机的房号是软件设置的房号而不是分支器默认房号。</t>
  </si>
  <si>
    <t>call机ui</t>
  </si>
  <si>
    <t>测试call机后的ui显示序号要和call机的序号一直，无错乱问题。</t>
  </si>
  <si>
    <t>呼叫管理员ui</t>
  </si>
  <si>
    <t>呼叫管理员ui显示正常。</t>
  </si>
  <si>
    <t>测试NFC功能，输入正确的UNIT后才能进入添卡模式已经正常的保存和擦除，在添卡模式刷卡后TAG能够显示门禁卡的ID号，观察是否与门禁卡的卡片上的ID号一致，TAG不可点击，同时在进入添卡模式时能够在SAVE显示当前房号的卡的数量，最大为10，每次添加一次刷卡就能+1，将索引移动至SAVE确认后可以保存，如果没保存退出上次添卡数据将无效，ERASE为删除房号卡片数据，达到最大10张后无法继续添卡，也就是SAVE显示的卡片数量最大为10，但是刷卡还是可以在TAG显示新的卡的ID，但是这张卡由于序号大于10，所以按下SAVE后无法保存，测试第10张以后的卡按下保存后也无法刷卡。</t>
  </si>
  <si>
    <t>分支器拨码开关</t>
  </si>
  <si>
    <t>分支器拨码开关设置的房号要与编码表的房号一致，如果软件设置了房号优先为软件房号。</t>
  </si>
  <si>
    <t>大楼系统开锁</t>
  </si>
  <si>
    <t>测试开锁需要正常控制大楼机开锁，异常情况需要多次测试：测试有物理开锁按键的室内机在按下开锁后再打开监控不会出现自动开锁问题。</t>
  </si>
  <si>
    <t>软件升级</t>
  </si>
  <si>
    <t>版本信息确认、能正常升级</t>
  </si>
  <si>
    <t>SD卡兼容</t>
  </si>
  <si>
    <t>用8G、64G 128SD卡能正常升级</t>
  </si>
  <si>
    <t>密码保护</t>
  </si>
  <si>
    <t>请注意，密码连续三次输入错误后，应设置 30 秒的重试延迟；若再次错误，延迟时间应翻倍</t>
  </si>
  <si>
    <t>恢复出厂设置中</t>
  </si>
  <si>
    <t>恢复出厂设置中的ui要正常，能够有百分号变化，修改语音后的显示也应正常</t>
  </si>
  <si>
    <t>按键灵敏度</t>
  </si>
  <si>
    <t>按键灵敏度舒适（没有无法触控、多次触控等问题）</t>
  </si>
  <si>
    <t xml:space="preserve">            制表：罗春梅 2025.12.04                                审核：                                                           批准：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</si>
</sst>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18"/>
      <color theme="1"/>
      <name val="宋体"/>
      <charset val="134"/>
      <scheme val="minor"/>
    </font>
    <font>
      <b/>
      <sz val="14"/>
      <color theme="1"/>
      <name val="宋体"/>
      <charset val="134"/>
      <scheme val="minor"/>
    </font>
    <font>
      <b/>
      <sz val="12"/>
      <color theme="1"/>
      <name val="宋体"/>
      <charset val="134"/>
      <scheme val="minor"/>
    </font>
    <font>
      <sz val="12"/>
      <color theme="1"/>
      <name val="宋体"/>
      <charset val="134"/>
      <scheme val="minor"/>
    </font>
    <font>
      <sz val="12"/>
      <color rgb="FFFF0000"/>
      <name val="宋体"/>
      <charset val="134"/>
      <scheme val="minor"/>
    </font>
    <font>
      <sz val="9"/>
      <color theme="1"/>
      <name val="Calibri"/>
      <charset val="134"/>
    </font>
    <font>
      <sz val="9"/>
      <color rgb="FFFF0000"/>
      <name val="Calibri"/>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29"/>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8"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9" applyNumberFormat="0" applyFill="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6" fillId="0" borderId="0" applyNumberFormat="0" applyFill="0" applyBorder="0" applyAlignment="0" applyProtection="0">
      <alignment vertical="center"/>
    </xf>
    <xf numFmtId="0" fontId="17" fillId="4" borderId="11" applyNumberFormat="0" applyAlignment="0" applyProtection="0">
      <alignment vertical="center"/>
    </xf>
    <xf numFmtId="0" fontId="18" fillId="5" borderId="12" applyNumberFormat="0" applyAlignment="0" applyProtection="0">
      <alignment vertical="center"/>
    </xf>
    <xf numFmtId="0" fontId="19" fillId="5" borderId="11" applyNumberFormat="0" applyAlignment="0" applyProtection="0">
      <alignment vertical="center"/>
    </xf>
    <xf numFmtId="0" fontId="20" fillId="6" borderId="13" applyNumberFormat="0" applyAlignment="0" applyProtection="0">
      <alignment vertical="center"/>
    </xf>
    <xf numFmtId="0" fontId="21" fillId="0" borderId="14" applyNumberFormat="0" applyFill="0" applyAlignment="0" applyProtection="0">
      <alignment vertical="center"/>
    </xf>
    <xf numFmtId="0" fontId="22" fillId="0" borderId="15"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0" fillId="0" borderId="0">
      <alignment vertical="center"/>
    </xf>
    <xf numFmtId="0" fontId="28" fillId="0" borderId="0">
      <alignment vertical="center"/>
    </xf>
  </cellStyleXfs>
  <cellXfs count="32">
    <xf numFmtId="0" fontId="0" fillId="0" borderId="0" xfId="0">
      <alignment vertical="center"/>
    </xf>
    <xf numFmtId="0" fontId="0" fillId="0" borderId="0" xfId="0" applyAlignment="1">
      <alignment vertical="center" wrapText="1"/>
    </xf>
    <xf numFmtId="0" fontId="0" fillId="0" borderId="0" xfId="0" applyAlignment="1">
      <alignment horizontal="lef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2" borderId="4" xfId="0" applyFont="1" applyFill="1" applyBorder="1">
      <alignment vertical="center"/>
    </xf>
    <xf numFmtId="0" fontId="3" fillId="2" borderId="4" xfId="0" applyFont="1" applyFill="1" applyBorder="1" applyAlignment="1">
      <alignment horizontal="center" vertical="center"/>
    </xf>
    <xf numFmtId="0" fontId="4" fillId="2" borderId="4" xfId="0" applyFont="1" applyFill="1" applyBorder="1" applyAlignment="1">
      <alignment horizontal="center" vertical="center"/>
    </xf>
    <xf numFmtId="0" fontId="0" fillId="2" borderId="4" xfId="0" applyFont="1" applyFill="1" applyBorder="1" applyAlignment="1">
      <alignment horizontal="center" vertical="center"/>
    </xf>
    <xf numFmtId="0" fontId="0" fillId="2" borderId="4" xfId="0" applyFont="1" applyFill="1" applyBorder="1" applyAlignment="1">
      <alignment horizontal="left" vertical="center" wrapText="1"/>
    </xf>
    <xf numFmtId="0" fontId="5" fillId="2" borderId="4" xfId="0" applyFont="1" applyFill="1" applyBorder="1" applyAlignment="1">
      <alignment horizontal="center" vertical="center"/>
    </xf>
    <xf numFmtId="0" fontId="0" fillId="2" borderId="4" xfId="0" applyFont="1" applyFill="1" applyBorder="1" applyAlignment="1">
      <alignment horizontal="center" vertical="center" wrapText="1"/>
    </xf>
    <xf numFmtId="0" fontId="5" fillId="2" borderId="4" xfId="0" applyFont="1" applyFill="1" applyBorder="1" applyAlignment="1">
      <alignment horizontal="left" vertical="center" wrapText="1"/>
    </xf>
    <xf numFmtId="0" fontId="0" fillId="2" borderId="4" xfId="0" applyFont="1" applyFill="1" applyBorder="1" applyAlignment="1">
      <alignment horizontal="left" vertical="center"/>
    </xf>
    <xf numFmtId="0" fontId="5" fillId="2" borderId="4" xfId="0" applyFont="1" applyFill="1" applyBorder="1" applyAlignment="1">
      <alignment horizontal="left" vertical="center"/>
    </xf>
    <xf numFmtId="0" fontId="0" fillId="2" borderId="5" xfId="0" applyFont="1" applyFill="1" applyBorder="1" applyAlignment="1">
      <alignment horizontal="center" vertical="center"/>
    </xf>
    <xf numFmtId="0" fontId="0" fillId="2" borderId="5" xfId="0" applyFont="1" applyFill="1" applyBorder="1" applyAlignment="1">
      <alignment horizontal="center" vertical="center" wrapText="1"/>
    </xf>
    <xf numFmtId="0" fontId="0" fillId="2" borderId="6" xfId="0" applyFont="1" applyFill="1" applyBorder="1" applyAlignment="1">
      <alignment horizontal="center" vertical="center"/>
    </xf>
    <xf numFmtId="0" fontId="0" fillId="2" borderId="6"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0" fillId="2" borderId="7" xfId="0" applyFont="1" applyFill="1" applyBorder="1" applyAlignment="1">
      <alignment horizontal="center" vertical="center"/>
    </xf>
    <xf numFmtId="0" fontId="0" fillId="2" borderId="7"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8" fillId="0" borderId="0" xfId="0" applyFont="1" applyAlignment="1">
      <alignment horizontal="lef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표준 8" xfId="50"/>
  </cellStyles>
  <dxfs count="20">
    <dxf>
      <fill>
        <patternFill patternType="solid">
          <bgColor rgb="FF92D050"/>
        </patternFill>
      </fill>
    </dxf>
    <dxf>
      <fill>
        <patternFill patternType="solid">
          <bgColor rgb="FFFF0000"/>
        </patternFill>
      </fill>
    </dxf>
    <dxf>
      <fill>
        <patternFill patternType="solid">
          <bgColor theme="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mruColors>
      <color rgb="0017C913"/>
      <color rgb="00FFFF00"/>
      <color rgb="00FFFFFF"/>
      <color rgb="00FF00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www.wps.cn/officeDocument/2020/cellImage" Target="cellimag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windows\TEMP\EXCEL\DOCUMENT\53&#20104;&#31639;\EXCEL5\DATA\&#35069;&#36896;&#20104;&#3163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WINDOWS\TEMP\96&#51076;&#548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406004_3\c\WINDOWS\&#44260;&#51648;&#45824;&#4934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WINDOWS\TEMP\&#30330;&#27880;&#21488;&#2411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効果"/>
      <sheetName val="アンテナ合わせ画面"/>
      <sheetName val="Exchange"/>
      <sheetName val="無記入(54レート)"/>
      <sheetName val="tbl"/>
      <sheetName val="機能概要"/>
      <sheetName val="参考資料_-_画面遷移"/>
      <sheetName val="価格表(春特価)"/>
      <sheetName val="推移表"/>
      <sheetName val="input_data"/>
      <sheetName val="職種商品コード"/>
      <sheetName val="状態別表示内容"/>
      <sheetName val="54ﾏｽﾀｰ予算4_2時点"/>
      <sheetName val="MAIN"/>
      <sheetName val="Business"/>
      <sheetName val="Company"/>
      <sheetName val="Currency"/>
      <sheetName val="Form"/>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96단체협약"/>
    </sheetNames>
    <sheetDataSet>
      <sheetData sheetId="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명단"/>
      <sheetName val="인력기안"/>
      <sheetName val="계층별현황"/>
      <sheetName val="INSU4"/>
      <sheetName val="대실실"/>
      <sheetName val="■DSTB(월별)"/>
      <sheetName val="■내수(월별)"/>
      <sheetName val="■수출(월별)"/>
      <sheetName val="■중개(월별)"/>
      <sheetName val="04"/>
      <sheetName val="01"/>
      <sheetName val="02"/>
      <sheetName val="03"/>
      <sheetName val="柯档惑铰"/>
      <sheetName val="Page 1"/>
      <sheetName val="Anamhl"/>
      <sheetName val="大日程値"/>
      <sheetName val="천안(기종)"/>
      <sheetName val="M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AZI002_2001_4月"/>
      <sheetName val="54ﾏｽﾀｰ予算4_2時点"/>
      <sheetName val="&amp;AP725E 99_4月"/>
      <sheetName val="&amp;AP725E 99_5月"/>
      <sheetName val="&amp;AP725E 用紙"/>
      <sheetName val="_AP725E 99_4月"/>
      <sheetName val="_AP725E 99_5月"/>
      <sheetName val="_AP725E 用紙"/>
      <sheetName val="4월계획"/>
      <sheetName val="週次ﾃﾞｰﾀ(台数)"/>
      <sheetName val="原価試算"/>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3"/>
  <sheetViews>
    <sheetView tabSelected="1" view="pageBreakPreview" zoomScale="85" zoomScaleNormal="100" topLeftCell="A23" workbookViewId="0">
      <selection activeCell="C30" sqref="C30"/>
    </sheetView>
  </sheetViews>
  <sheetFormatPr defaultColWidth="9" defaultRowHeight="20" customHeight="1"/>
  <cols>
    <col min="1" max="1" width="5.575" customWidth="1"/>
    <col min="2" max="2" width="18.6666666666667" customWidth="1"/>
    <col min="3" max="3" width="69.5166666666667" style="2" customWidth="1"/>
    <col min="4" max="4" width="11" style="2" customWidth="1"/>
    <col min="5" max="6" width="11.1083333333333" style="2" customWidth="1"/>
    <col min="7" max="7" width="13.775" customWidth="1"/>
    <col min="8" max="8" width="33.45" customWidth="1"/>
    <col min="9" max="9" width="16.225" customWidth="1"/>
  </cols>
  <sheetData>
    <row r="1" ht="42" customHeight="1" spans="1:9">
      <c r="A1" s="3" t="s">
        <v>0</v>
      </c>
      <c r="B1" s="4"/>
      <c r="C1" s="4"/>
      <c r="D1" s="4"/>
      <c r="E1" s="4"/>
      <c r="F1" s="4"/>
      <c r="G1" s="4"/>
      <c r="H1" s="4"/>
      <c r="I1" s="5"/>
    </row>
    <row r="2" customFormat="1" ht="36" customHeight="1" spans="1:9">
      <c r="A2" s="6" t="s">
        <v>1</v>
      </c>
      <c r="B2" s="7"/>
      <c r="C2" s="7"/>
      <c r="D2" s="7"/>
      <c r="E2" s="7"/>
      <c r="F2" s="7"/>
      <c r="G2" s="7"/>
      <c r="H2" s="7"/>
      <c r="I2" s="8"/>
    </row>
    <row r="3" s="1" customFormat="1" ht="39" customHeight="1" spans="1:9">
      <c r="A3" s="9" t="s">
        <v>2</v>
      </c>
      <c r="B3" s="10"/>
      <c r="C3" s="10"/>
      <c r="D3" s="10"/>
      <c r="E3" s="10"/>
      <c r="F3" s="10"/>
      <c r="G3" s="10"/>
      <c r="H3" s="10"/>
      <c r="I3" s="11"/>
    </row>
    <row r="4" customFormat="1" ht="36" customHeight="1" spans="1:9">
      <c r="A4" s="6" t="s">
        <v>3</v>
      </c>
      <c r="B4" s="7"/>
      <c r="C4" s="7"/>
      <c r="D4" s="7"/>
      <c r="E4" s="7"/>
      <c r="F4" s="7"/>
      <c r="G4" s="7"/>
      <c r="H4" s="7"/>
      <c r="I4" s="8"/>
    </row>
    <row r="5" ht="48" customHeight="1" spans="1:9">
      <c r="A5" s="12" t="s">
        <v>4</v>
      </c>
      <c r="B5" s="13" t="s">
        <v>5</v>
      </c>
      <c r="C5" s="13" t="s">
        <v>6</v>
      </c>
      <c r="D5" s="13" t="s">
        <v>7</v>
      </c>
      <c r="E5" s="13" t="s">
        <v>8</v>
      </c>
      <c r="F5" s="13" t="s">
        <v>9</v>
      </c>
      <c r="G5" s="13" t="s">
        <v>10</v>
      </c>
      <c r="H5" s="13" t="s">
        <v>11</v>
      </c>
      <c r="I5" s="13" t="s">
        <v>12</v>
      </c>
    </row>
    <row r="6" customFormat="1" ht="46" customHeight="1" spans="1:9">
      <c r="A6" s="14">
        <v>1</v>
      </c>
      <c r="B6" s="15" t="s">
        <v>13</v>
      </c>
      <c r="C6" s="16" t="s">
        <v>14</v>
      </c>
      <c r="D6" s="15"/>
      <c r="E6" s="15"/>
      <c r="F6" s="15"/>
      <c r="G6" s="15"/>
      <c r="H6" s="14"/>
      <c r="I6" s="17"/>
    </row>
    <row r="7" customFormat="1" ht="46" customHeight="1" spans="1:9">
      <c r="A7" s="14">
        <v>2</v>
      </c>
      <c r="B7" s="15" t="s">
        <v>15</v>
      </c>
      <c r="C7" s="16" t="s">
        <v>16</v>
      </c>
      <c r="D7" s="15">
        <v>650</v>
      </c>
      <c r="E7" s="15"/>
      <c r="F7" s="18"/>
      <c r="G7" s="18"/>
      <c r="H7" s="14"/>
      <c r="I7" s="17"/>
    </row>
    <row r="8" customFormat="1" ht="46" customHeight="1" spans="1:9">
      <c r="A8" s="14">
        <v>3</v>
      </c>
      <c r="B8" s="15" t="s">
        <v>17</v>
      </c>
      <c r="C8" s="16" t="s">
        <v>18</v>
      </c>
      <c r="D8" s="15">
        <v>650</v>
      </c>
      <c r="E8" s="15"/>
      <c r="F8" s="18"/>
      <c r="G8" s="18"/>
      <c r="H8" s="14"/>
      <c r="I8" s="17"/>
    </row>
    <row r="9" customFormat="1" ht="46" customHeight="1" spans="1:9">
      <c r="A9" s="14">
        <v>4</v>
      </c>
      <c r="B9" s="15" t="s">
        <v>19</v>
      </c>
      <c r="C9" s="16" t="s">
        <v>20</v>
      </c>
      <c r="D9" s="15">
        <v>650</v>
      </c>
      <c r="E9" s="15"/>
      <c r="F9" s="18"/>
      <c r="G9" s="18"/>
      <c r="H9" s="14"/>
      <c r="I9" s="17"/>
    </row>
    <row r="10" customFormat="1" ht="46" customHeight="1" spans="1:9">
      <c r="A10" s="14">
        <v>5</v>
      </c>
      <c r="B10" s="15" t="s">
        <v>21</v>
      </c>
      <c r="C10" s="16" t="s">
        <v>22</v>
      </c>
      <c r="D10" s="15">
        <v>1000</v>
      </c>
      <c r="E10" s="15"/>
      <c r="F10" s="18"/>
      <c r="G10" s="18"/>
      <c r="H10" s="16"/>
      <c r="I10" s="19"/>
    </row>
    <row r="11" customFormat="1" ht="46" customHeight="1" spans="1:9">
      <c r="A11" s="14">
        <v>6</v>
      </c>
      <c r="B11" s="15" t="s">
        <v>23</v>
      </c>
      <c r="C11" s="16" t="s">
        <v>24</v>
      </c>
      <c r="D11" s="15">
        <v>200</v>
      </c>
      <c r="E11" s="15"/>
      <c r="F11" s="18"/>
      <c r="G11" s="18"/>
      <c r="H11" s="20"/>
      <c r="I11" s="21"/>
    </row>
    <row r="12" customFormat="1" ht="46" customHeight="1" spans="1:9">
      <c r="A12" s="14">
        <v>7</v>
      </c>
      <c r="B12" s="15" t="s">
        <v>25</v>
      </c>
      <c r="C12" s="16" t="s">
        <v>26</v>
      </c>
      <c r="D12" s="15">
        <v>200</v>
      </c>
      <c r="E12" s="15"/>
      <c r="F12" s="18"/>
      <c r="G12" s="18"/>
      <c r="H12" s="20"/>
      <c r="I12" s="21"/>
    </row>
    <row r="13" customFormat="1" ht="46" customHeight="1" spans="1:9">
      <c r="A13" s="14">
        <v>8</v>
      </c>
      <c r="B13" s="15" t="s">
        <v>27</v>
      </c>
      <c r="C13" s="16" t="s">
        <v>28</v>
      </c>
      <c r="D13" s="15">
        <v>200</v>
      </c>
      <c r="E13" s="15"/>
      <c r="F13" s="18"/>
      <c r="G13" s="18"/>
      <c r="H13" s="20"/>
      <c r="I13" s="21"/>
    </row>
    <row r="14" customFormat="1" ht="46" customHeight="1" spans="1:9">
      <c r="A14" s="14">
        <v>9</v>
      </c>
      <c r="B14" s="15" t="s">
        <v>29</v>
      </c>
      <c r="C14" s="16" t="s">
        <v>28</v>
      </c>
      <c r="D14" s="15">
        <v>200</v>
      </c>
      <c r="E14" s="15"/>
      <c r="F14" s="18"/>
      <c r="G14" s="18"/>
      <c r="H14" s="16"/>
      <c r="I14" s="19"/>
    </row>
    <row r="15" customFormat="1" ht="46" customHeight="1" spans="1:9">
      <c r="A15" s="14">
        <v>10</v>
      </c>
      <c r="B15" s="15" t="s">
        <v>30</v>
      </c>
      <c r="C15" s="16" t="s">
        <v>31</v>
      </c>
      <c r="D15" s="15">
        <v>200</v>
      </c>
      <c r="E15" s="15"/>
      <c r="F15" s="18"/>
      <c r="G15" s="18"/>
      <c r="H15" s="14"/>
      <c r="I15" s="17"/>
    </row>
    <row r="16" customFormat="1" ht="46" customHeight="1" spans="1:9">
      <c r="A16" s="14">
        <v>11</v>
      </c>
      <c r="B16" s="15" t="s">
        <v>32</v>
      </c>
      <c r="C16" s="16" t="s">
        <v>33</v>
      </c>
      <c r="D16" s="15">
        <v>650</v>
      </c>
      <c r="E16" s="15"/>
      <c r="F16" s="18"/>
      <c r="G16" s="18"/>
      <c r="H16" s="14"/>
      <c r="I16" s="17"/>
    </row>
    <row r="17" customFormat="1" ht="46" customHeight="1" spans="1:9">
      <c r="A17" s="14">
        <v>12</v>
      </c>
      <c r="B17" s="15" t="s">
        <v>34</v>
      </c>
      <c r="C17" s="16" t="s">
        <v>35</v>
      </c>
      <c r="D17" s="15">
        <v>200</v>
      </c>
      <c r="E17" s="15"/>
      <c r="F17" s="18"/>
      <c r="G17" s="18"/>
      <c r="H17" s="14"/>
      <c r="I17" s="17"/>
    </row>
    <row r="18" customFormat="1" ht="46" customHeight="1" spans="1:9">
      <c r="A18" s="14">
        <v>13</v>
      </c>
      <c r="B18" s="15" t="s">
        <v>36</v>
      </c>
      <c r="C18" s="16" t="s">
        <v>37</v>
      </c>
      <c r="D18" s="15">
        <v>500</v>
      </c>
      <c r="E18" s="15"/>
      <c r="F18" s="18"/>
      <c r="G18" s="18"/>
      <c r="H18" s="14"/>
      <c r="I18" s="17"/>
    </row>
    <row r="19" customFormat="1" ht="46" customHeight="1" spans="1:9">
      <c r="A19" s="14">
        <v>14</v>
      </c>
      <c r="B19" s="15" t="s">
        <v>38</v>
      </c>
      <c r="C19" s="16" t="s">
        <v>39</v>
      </c>
      <c r="D19" s="15">
        <v>500</v>
      </c>
      <c r="E19" s="15"/>
      <c r="F19" s="18"/>
      <c r="G19" s="18"/>
      <c r="H19" s="14"/>
      <c r="I19" s="17"/>
    </row>
    <row r="20" customFormat="1" ht="46" customHeight="1" spans="1:9">
      <c r="A20" s="14">
        <v>15</v>
      </c>
      <c r="B20" s="15" t="s">
        <v>40</v>
      </c>
      <c r="C20" s="16" t="s">
        <v>41</v>
      </c>
      <c r="D20" s="15">
        <v>1500</v>
      </c>
      <c r="E20" s="15"/>
      <c r="F20" s="18"/>
      <c r="G20" s="18"/>
      <c r="H20" s="14"/>
      <c r="I20" s="17"/>
    </row>
    <row r="21" customFormat="1" ht="46" customHeight="1" spans="1:9">
      <c r="A21" s="14">
        <v>16</v>
      </c>
      <c r="B21" s="15" t="s">
        <v>42</v>
      </c>
      <c r="C21" s="16" t="s">
        <v>43</v>
      </c>
      <c r="D21" s="15">
        <v>100</v>
      </c>
      <c r="E21" s="15"/>
      <c r="F21" s="18"/>
      <c r="G21" s="18"/>
      <c r="H21" s="14"/>
      <c r="I21" s="17"/>
    </row>
    <row r="22" customFormat="1" ht="46" customHeight="1" spans="1:9">
      <c r="A22" s="14">
        <v>17</v>
      </c>
      <c r="B22" s="15" t="s">
        <v>44</v>
      </c>
      <c r="C22" s="16" t="s">
        <v>45</v>
      </c>
      <c r="D22" s="15">
        <v>50</v>
      </c>
      <c r="E22" s="15"/>
      <c r="F22" s="18"/>
      <c r="G22" s="18"/>
      <c r="H22" s="14"/>
      <c r="I22" s="17"/>
    </row>
    <row r="23" customFormat="1" ht="46" customHeight="1" spans="1:9">
      <c r="A23" s="14">
        <v>18</v>
      </c>
      <c r="B23" s="22" t="str">
        <f>_xlfn.DISPIMG("ID_4410FF8A35AC443C86BEB2106A3D2629",1)</f>
        <v>=DISPIMG("ID_4410FF8A35AC443C86BEB2106A3D2629",1)</v>
      </c>
      <c r="C23" s="23" t="s">
        <v>46</v>
      </c>
      <c r="D23" s="22">
        <v>1500</v>
      </c>
      <c r="E23" s="15"/>
      <c r="F23" s="18"/>
      <c r="G23" s="18"/>
      <c r="H23" s="14"/>
      <c r="I23" s="17"/>
    </row>
    <row r="24" ht="46" customHeight="1" spans="1:9">
      <c r="A24" s="14">
        <v>19</v>
      </c>
      <c r="B24" s="24"/>
      <c r="C24" s="25"/>
      <c r="D24" s="24"/>
      <c r="E24" s="15"/>
      <c r="F24" s="18"/>
      <c r="G24" s="18"/>
      <c r="H24" s="26"/>
      <c r="I24" s="17"/>
    </row>
    <row r="25" ht="46" customHeight="1" spans="1:9">
      <c r="A25" s="14">
        <v>20</v>
      </c>
      <c r="B25" s="27"/>
      <c r="C25" s="28"/>
      <c r="D25" s="27"/>
      <c r="E25" s="15"/>
      <c r="F25" s="18"/>
      <c r="G25" s="18"/>
      <c r="H25" s="26"/>
      <c r="I25" s="17"/>
    </row>
    <row r="26" customFormat="1" ht="49" customHeight="1" spans="1:9">
      <c r="A26" s="14">
        <v>21</v>
      </c>
      <c r="B26" s="15" t="s">
        <v>47</v>
      </c>
      <c r="C26" s="16" t="s">
        <v>48</v>
      </c>
      <c r="D26" s="15">
        <v>800</v>
      </c>
      <c r="E26" s="15"/>
      <c r="F26" s="18"/>
      <c r="G26" s="18"/>
      <c r="H26" s="29"/>
      <c r="I26" s="30"/>
    </row>
    <row r="27" customFormat="1" ht="46" customHeight="1" spans="1:9">
      <c r="A27" s="14">
        <v>22</v>
      </c>
      <c r="B27" s="15" t="s">
        <v>49</v>
      </c>
      <c r="C27" s="16" t="s">
        <v>50</v>
      </c>
      <c r="D27" s="15">
        <v>1000</v>
      </c>
      <c r="E27" s="15"/>
      <c r="F27" s="18"/>
      <c r="G27" s="18"/>
      <c r="H27" s="14"/>
      <c r="I27" s="17"/>
    </row>
    <row r="28" customFormat="1" ht="46" customHeight="1" spans="1:9">
      <c r="A28" s="14">
        <v>23</v>
      </c>
      <c r="B28" s="15" t="s">
        <v>51</v>
      </c>
      <c r="C28" s="16" t="s">
        <v>52</v>
      </c>
      <c r="D28" s="15">
        <v>100</v>
      </c>
      <c r="E28" s="15"/>
      <c r="F28" s="18"/>
      <c r="G28" s="18"/>
      <c r="H28" s="14"/>
      <c r="I28" s="17"/>
    </row>
    <row r="29" customFormat="1" ht="46" customHeight="1" spans="1:9">
      <c r="A29" s="14">
        <v>24</v>
      </c>
      <c r="B29" s="15" t="s">
        <v>53</v>
      </c>
      <c r="C29" s="16" t="s">
        <v>54</v>
      </c>
      <c r="D29" s="15">
        <v>100</v>
      </c>
      <c r="E29" s="15"/>
      <c r="F29" s="18"/>
      <c r="G29" s="18"/>
      <c r="H29" s="14"/>
      <c r="I29" s="17"/>
    </row>
    <row r="30" customFormat="1" ht="46" customHeight="1" spans="1:9">
      <c r="A30" s="14">
        <v>25</v>
      </c>
      <c r="B30" s="15" t="s">
        <v>55</v>
      </c>
      <c r="C30" s="16" t="s">
        <v>56</v>
      </c>
      <c r="D30" s="15">
        <v>100</v>
      </c>
      <c r="E30" s="15"/>
      <c r="F30" s="18"/>
      <c r="G30" s="18"/>
      <c r="H30" s="14"/>
      <c r="I30" s="17"/>
    </row>
    <row r="31" customFormat="1" ht="46" customHeight="1" spans="1:9">
      <c r="A31" s="14">
        <v>26</v>
      </c>
      <c r="B31" s="15" t="s">
        <v>57</v>
      </c>
      <c r="C31" s="16" t="s">
        <v>58</v>
      </c>
      <c r="D31" s="15">
        <v>100</v>
      </c>
      <c r="E31" s="15"/>
      <c r="F31" s="18"/>
      <c r="G31" s="18"/>
      <c r="H31" s="14"/>
      <c r="I31" s="17"/>
    </row>
    <row r="32" customFormat="1" ht="46" customHeight="1" spans="1:9">
      <c r="A32" s="14">
        <v>28</v>
      </c>
      <c r="B32" s="15" t="s">
        <v>59</v>
      </c>
      <c r="C32" s="16" t="s">
        <v>60</v>
      </c>
      <c r="D32" s="15">
        <v>100</v>
      </c>
      <c r="E32" s="15"/>
      <c r="F32" s="18"/>
      <c r="G32" s="18"/>
      <c r="H32" s="14"/>
      <c r="I32" s="17"/>
    </row>
    <row r="33" ht="27" customHeight="1" spans="1:9">
      <c r="A33" s="31" t="s">
        <v>61</v>
      </c>
      <c r="B33" s="31"/>
      <c r="C33" s="31"/>
      <c r="D33" s="31"/>
      <c r="E33" s="31"/>
      <c r="F33" s="31"/>
      <c r="G33" s="31"/>
      <c r="H33" s="31"/>
      <c r="I33" s="31"/>
    </row>
  </sheetData>
  <mergeCells count="8">
    <mergeCell ref="A1:I1"/>
    <mergeCell ref="A2:I2"/>
    <mergeCell ref="A3:I3"/>
    <mergeCell ref="A4:I4"/>
    <mergeCell ref="A33:I33"/>
    <mergeCell ref="B23:B25"/>
    <mergeCell ref="C23:C25"/>
    <mergeCell ref="D23:D25"/>
  </mergeCells>
  <conditionalFormatting sqref="F10">
    <cfRule type="containsText" dxfId="0" priority="197" operator="between" text="OK">
      <formula>NOT(ISERROR(SEARCH("OK",F10)))</formula>
    </cfRule>
    <cfRule type="containsText" dxfId="1" priority="181" operator="between" text="NO">
      <formula>NOT(ISERROR(SEARCH("NO",F10)))</formula>
    </cfRule>
    <cfRule type="containsText" dxfId="2" priority="165" operator="between" text="OK">
      <formula>NOT(ISERROR(SEARCH("OK",F10)))</formula>
    </cfRule>
  </conditionalFormatting>
  <conditionalFormatting sqref="F7:F9">
    <cfRule type="containsText" dxfId="0" priority="211" operator="between" text="OK">
      <formula>NOT(ISERROR(SEARCH("OK",F7)))</formula>
    </cfRule>
    <cfRule type="containsText" dxfId="1" priority="210" operator="between" text="NO">
      <formula>NOT(ISERROR(SEARCH("NO",F7)))</formula>
    </cfRule>
    <cfRule type="containsText" dxfId="2" priority="209" operator="between" text="OK">
      <formula>NOT(ISERROR(SEARCH("OK",F7)))</formula>
    </cfRule>
  </conditionalFormatting>
  <conditionalFormatting sqref="F11:F32">
    <cfRule type="containsText" dxfId="2" priority="29" operator="between" text="OK">
      <formula>NOT(ISERROR(SEARCH("OK",F11)))</formula>
    </cfRule>
    <cfRule type="containsText" dxfId="1" priority="30" operator="between" text="NO">
      <formula>NOT(ISERROR(SEARCH("NO",F11)))</formula>
    </cfRule>
    <cfRule type="containsText" dxfId="0" priority="31" operator="between" text="OK">
      <formula>NOT(ISERROR(SEARCH("OK",F11)))</formula>
    </cfRule>
  </conditionalFormatting>
  <conditionalFormatting sqref="G7:G32">
    <cfRule type="containsText" dxfId="2" priority="1" operator="between" text="OK">
      <formula>NOT(ISERROR(SEARCH("OK",G7)))</formula>
    </cfRule>
    <cfRule type="containsText" dxfId="1" priority="2" operator="between" text="NO">
      <formula>NOT(ISERROR(SEARCH("NO",G7)))</formula>
    </cfRule>
    <cfRule type="containsText" dxfId="0" priority="3" operator="between" text="OK">
      <formula>NOT(ISERROR(SEARCH("OK",G7)))</formula>
    </cfRule>
  </conditionalFormatting>
  <dataValidations count="1">
    <dataValidation type="list" allowBlank="1" showInputMessage="1" showErrorMessage="1" sqref="G31 G32 G7:G30">
      <formula1>"OK,NO"</formula1>
    </dataValidation>
  </dataValidations>
  <printOptions horizontalCentered="1"/>
  <pageMargins left="0.0388888888888889" right="0.0388888888888889" top="0.904861111111111" bottom="0.156944444444444" header="0.393055555555556" footer="0.156944444444444"/>
  <pageSetup paperSize="9" scale="50" orientation="portrait" horizontalDpi="6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calluse （P107）7寸压力测试表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sk199</dc:creator>
  <cp:lastModifiedBy>目</cp:lastModifiedBy>
  <dcterms:created xsi:type="dcterms:W3CDTF">2025-04-13T09:46:00Z</dcterms:created>
  <cp:lastPrinted>2025-05-04T16:21:00Z</cp:lastPrinted>
  <dcterms:modified xsi:type="dcterms:W3CDTF">2026-01-05T01:33:29Z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4496C73AB98A4AE3A34E44E8741583ED_13</vt:lpwstr>
  </property>
  <property fmtid="{D5CDD505-2E9C-101B-9397-08002B2CF9AE}" pid="3" name="KSOProductBuildVer">
    <vt:lpwstr>2052-12.1.0.24034</vt:lpwstr>
  </property>
  <property fmtid="{D5CDD505-2E9C-101B-9397-08002B2CF9AE}" pid="4" name="CalculationRule">
    <vt:i4>0</vt:i4>
  </property>
</Properties>
</file>